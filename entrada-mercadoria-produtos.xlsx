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<sst xmlns="http://schemas.openxmlformats.org/spreadsheetml/2006/main" count="129" uniqueCount="80">
  <si>
    <t xml:space="preserve">Ferragens do Elson — Entrada de Mercadoria (Nota Fiscal)</t>
  </si>
  <si>
    <t xml:space="preserve">Reconstruído a partir da nota fiscal colada — conferir antes de cadastrar. Valor total bate com a NF: R$ 1.801,72</t>
  </si>
  <si>
    <t xml:space="preserve">Margem de venda (%)</t>
  </si>
  <si>
    <t xml:space="preserve">Código</t>
  </si>
  <si>
    <t xml:space="preserve">Nome</t>
  </si>
  <si>
    <t xml:space="preserve">Categoria</t>
  </si>
  <si>
    <t xml:space="preserve">Marca</t>
  </si>
  <si>
    <t xml:space="preserve">Unidade</t>
  </si>
  <si>
    <t xml:space="preserve">Qtd. Recebida</t>
  </si>
  <si>
    <t xml:space="preserve">Preço de Compra (R$)</t>
  </si>
  <si>
    <t xml:space="preserve">Preço de Venda (R$)</t>
  </si>
  <si>
    <t xml:space="preserve">Estoque Mínimo</t>
  </si>
  <si>
    <t xml:space="preserve">NCM (ref.)</t>
  </si>
  <si>
    <t xml:space="preserve">Valor Total (R$)</t>
  </si>
  <si>
    <t xml:space="preserve">33391</t>
  </si>
  <si>
    <t xml:space="preserve">Broca Aço Rápido 3mm Cartela</t>
  </si>
  <si>
    <t xml:space="preserve">Ferramentas</t>
  </si>
  <si>
    <t xml:space="preserve">Tramontina</t>
  </si>
  <si>
    <t xml:space="preserve">un</t>
  </si>
  <si>
    <t xml:space="preserve">82075011</t>
  </si>
  <si>
    <t xml:space="preserve">33395</t>
  </si>
  <si>
    <t xml:space="preserve">Broca Aço Rápido 5mm Cartela</t>
  </si>
  <si>
    <t xml:space="preserve">18510</t>
  </si>
  <si>
    <t xml:space="preserve">Cantoneira Francesa 19x12cm Branca</t>
  </si>
  <si>
    <t xml:space="preserve">Ferragens</t>
  </si>
  <si>
    <t xml:space="preserve">Fertak</t>
  </si>
  <si>
    <t xml:space="preserve">83024900</t>
  </si>
  <si>
    <t xml:space="preserve">19765</t>
  </si>
  <si>
    <t xml:space="preserve">Cantoneira Francesa 23cm Branca</t>
  </si>
  <si>
    <t xml:space="preserve">19766</t>
  </si>
  <si>
    <t xml:space="preserve">Cantoneira Francesa 29cm Branca</t>
  </si>
  <si>
    <t xml:space="preserve">18515</t>
  </si>
  <si>
    <t xml:space="preserve">Cantoneira Francesa 38,5cm Branca</t>
  </si>
  <si>
    <t xml:space="preserve">22363</t>
  </si>
  <si>
    <t xml:space="preserve">Cantoneira Francesa 48,5cm Branca</t>
  </si>
  <si>
    <t xml:space="preserve">23230</t>
  </si>
  <si>
    <t xml:space="preserve">Interruptor 1 Tecla 6A + Tomada 2P+T 10A Aria</t>
  </si>
  <si>
    <t xml:space="preserve">Elétrica</t>
  </si>
  <si>
    <t xml:space="preserve">85366910</t>
  </si>
  <si>
    <t xml:space="preserve">23231</t>
  </si>
  <si>
    <t xml:space="preserve">Interruptor 1 Tecla 6A + Tomada 2P+T 20A Aria</t>
  </si>
  <si>
    <t xml:space="preserve">11134</t>
  </si>
  <si>
    <t xml:space="preserve">Jogo Chave Allen 1,5 a 10mm (10 peças)</t>
  </si>
  <si>
    <t xml:space="preserve">Brasfort</t>
  </si>
  <si>
    <t xml:space="preserve">cj</t>
  </si>
  <si>
    <t xml:space="preserve">82042000</t>
  </si>
  <si>
    <t xml:space="preserve">54584</t>
  </si>
  <si>
    <t xml:space="preserve">Nível de Alumínio Magnético 9"</t>
  </si>
  <si>
    <t xml:space="preserve">Amaforte</t>
  </si>
  <si>
    <t xml:space="preserve">90316099</t>
  </si>
  <si>
    <t xml:space="preserve">50195</t>
  </si>
  <si>
    <t xml:space="preserve">Prego Telheiro p/ Ondulina (pacote 30un)</t>
  </si>
  <si>
    <t xml:space="preserve">pct</t>
  </si>
  <si>
    <t xml:space="preserve">73170090</t>
  </si>
  <si>
    <t xml:space="preserve">48475</t>
  </si>
  <si>
    <t xml:space="preserve">Sanduicheira Grill 127V 750W Preta</t>
  </si>
  <si>
    <t xml:space="preserve">Outros</t>
  </si>
  <si>
    <t xml:space="preserve">Kian</t>
  </si>
  <si>
    <t xml:space="preserve">85167990</t>
  </si>
  <si>
    <t xml:space="preserve">64551</t>
  </si>
  <si>
    <t xml:space="preserve">Serra Widia p/ Máquina 24 Dentes 110mm</t>
  </si>
  <si>
    <t xml:space="preserve">82053000</t>
  </si>
  <si>
    <t xml:space="preserve">26562</t>
  </si>
  <si>
    <t xml:space="preserve">Tela Plástica Pinto 1,50x50m</t>
  </si>
  <si>
    <t xml:space="preserve">Tutti</t>
  </si>
  <si>
    <t xml:space="preserve">rl</t>
  </si>
  <si>
    <t xml:space="preserve">54071019</t>
  </si>
  <si>
    <t xml:space="preserve">23236</t>
  </si>
  <si>
    <t xml:space="preserve">Tomada 2P+T 10A Branca Aria</t>
  </si>
  <si>
    <t xml:space="preserve">29237</t>
  </si>
  <si>
    <t xml:space="preserve">Tomada 2P+T 20A Branca Aria</t>
  </si>
  <si>
    <t xml:space="preserve">21255</t>
  </si>
  <si>
    <t xml:space="preserve">Trena Emborrachada 5m x 18mm</t>
  </si>
  <si>
    <t xml:space="preserve">90178010</t>
  </si>
  <si>
    <t xml:space="preserve">16171</t>
  </si>
  <si>
    <t xml:space="preserve">Trincha 2.1/2"</t>
  </si>
  <si>
    <t xml:space="preserve">Tintas</t>
  </si>
  <si>
    <t xml:space="preserve">Roma</t>
  </si>
  <si>
    <t xml:space="preserve">96034090</t>
  </si>
  <si>
    <t xml:space="preserve">Total (nota fiscal):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</si>
</sst>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10" min="9" style="0" width="12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4" t="n">
        <v>0.4</v>
      </c>
    </row>
    <row r="6" customFormat="false" ht="26.8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</row>
    <row r="7" customFormat="false" ht="15" hidden="false" customHeight="false" outlineLevel="0" collapsed="false">
      <c r="A7" s="6" t="s">
        <v>14</v>
      </c>
      <c r="B7" s="6" t="s">
        <v>15</v>
      </c>
      <c r="C7" s="6" t="s">
        <v>16</v>
      </c>
      <c r="D7" s="6" t="s">
        <v>17</v>
      </c>
      <c r="E7" s="6" t="s">
        <v>18</v>
      </c>
      <c r="F7" s="7" t="n">
        <v>10</v>
      </c>
      <c r="G7" s="8" t="n">
        <v>3.3</v>
      </c>
      <c r="H7" s="9" t="n">
        <f aca="false">G7/(1-$B$4)</f>
        <v>5.5</v>
      </c>
      <c r="I7" s="7" t="n">
        <v>2</v>
      </c>
      <c r="J7" s="6" t="s">
        <v>19</v>
      </c>
      <c r="K7" s="9" t="n">
        <f aca="false">F7*G7</f>
        <v>33</v>
      </c>
    </row>
    <row r="8" customFormat="false" ht="15" hidden="false" customHeight="false" outlineLevel="0" collapsed="false">
      <c r="A8" s="6" t="s">
        <v>20</v>
      </c>
      <c r="B8" s="6" t="s">
        <v>21</v>
      </c>
      <c r="C8" s="6" t="s">
        <v>16</v>
      </c>
      <c r="D8" s="6" t="s">
        <v>17</v>
      </c>
      <c r="E8" s="6" t="s">
        <v>18</v>
      </c>
      <c r="F8" s="7" t="n">
        <v>10</v>
      </c>
      <c r="G8" s="8" t="n">
        <v>4.44</v>
      </c>
      <c r="H8" s="9" t="n">
        <f aca="false">G8/(1-$B$4)</f>
        <v>7.4</v>
      </c>
      <c r="I8" s="7" t="n">
        <v>2</v>
      </c>
      <c r="J8" s="6" t="s">
        <v>19</v>
      </c>
      <c r="K8" s="9" t="n">
        <f aca="false">F8*G8</f>
        <v>44.4</v>
      </c>
    </row>
    <row r="9" customFormat="false" ht="15" hidden="false" customHeight="false" outlineLevel="0" collapsed="false">
      <c r="A9" s="6" t="s">
        <v>22</v>
      </c>
      <c r="B9" s="6" t="s">
        <v>23</v>
      </c>
      <c r="C9" s="6" t="s">
        <v>24</v>
      </c>
      <c r="D9" s="6" t="s">
        <v>25</v>
      </c>
      <c r="E9" s="6" t="s">
        <v>18</v>
      </c>
      <c r="F9" s="7" t="n">
        <v>12</v>
      </c>
      <c r="G9" s="8" t="n">
        <v>2.66</v>
      </c>
      <c r="H9" s="9" t="n">
        <f aca="false">G9/(1-$B$4)</f>
        <v>4.43333333333333</v>
      </c>
      <c r="I9" s="7" t="n">
        <v>2</v>
      </c>
      <c r="J9" s="6" t="s">
        <v>26</v>
      </c>
      <c r="K9" s="9" t="n">
        <f aca="false">F9*G9</f>
        <v>31.92</v>
      </c>
    </row>
    <row r="10" customFormat="false" ht="15" hidden="false" customHeight="false" outlineLevel="0" collapsed="false">
      <c r="A10" s="6" t="s">
        <v>27</v>
      </c>
      <c r="B10" s="6" t="s">
        <v>28</v>
      </c>
      <c r="C10" s="6" t="s">
        <v>24</v>
      </c>
      <c r="D10" s="6" t="s">
        <v>25</v>
      </c>
      <c r="E10" s="6" t="s">
        <v>18</v>
      </c>
      <c r="F10" s="7" t="n">
        <v>12</v>
      </c>
      <c r="G10" s="8" t="n">
        <v>3.5</v>
      </c>
      <c r="H10" s="9" t="n">
        <f aca="false">G10/(1-$B$4)</f>
        <v>5.83333333333333</v>
      </c>
      <c r="I10" s="7" t="n">
        <v>2</v>
      </c>
      <c r="J10" s="6" t="s">
        <v>26</v>
      </c>
      <c r="K10" s="9" t="n">
        <f aca="false">F10*G10</f>
        <v>42</v>
      </c>
    </row>
    <row r="11" customFormat="false" ht="15" hidden="false" customHeight="false" outlineLevel="0" collapsed="false">
      <c r="A11" s="6" t="s">
        <v>29</v>
      </c>
      <c r="B11" s="6" t="s">
        <v>30</v>
      </c>
      <c r="C11" s="6" t="s">
        <v>24</v>
      </c>
      <c r="D11" s="6" t="s">
        <v>25</v>
      </c>
      <c r="E11" s="6" t="s">
        <v>18</v>
      </c>
      <c r="F11" s="7" t="n">
        <v>12</v>
      </c>
      <c r="G11" s="8" t="n">
        <v>4.11</v>
      </c>
      <c r="H11" s="9" t="n">
        <f aca="false">G11/(1-$B$4)</f>
        <v>6.85</v>
      </c>
      <c r="I11" s="7" t="n">
        <v>2</v>
      </c>
      <c r="J11" s="6" t="s">
        <v>26</v>
      </c>
      <c r="K11" s="9" t="n">
        <f aca="false">F11*G11</f>
        <v>49.32</v>
      </c>
    </row>
    <row r="12" customFormat="false" ht="15" hidden="false" customHeight="false" outlineLevel="0" collapsed="false">
      <c r="A12" s="6" t="s">
        <v>31</v>
      </c>
      <c r="B12" s="6" t="s">
        <v>32</v>
      </c>
      <c r="C12" s="6" t="s">
        <v>24</v>
      </c>
      <c r="D12" s="6" t="s">
        <v>25</v>
      </c>
      <c r="E12" s="6" t="s">
        <v>18</v>
      </c>
      <c r="F12" s="7" t="n">
        <v>12</v>
      </c>
      <c r="G12" s="8" t="n">
        <v>9</v>
      </c>
      <c r="H12" s="9" t="n">
        <f aca="false">G12/(1-$B$4)</f>
        <v>15</v>
      </c>
      <c r="I12" s="7" t="n">
        <v>2</v>
      </c>
      <c r="J12" s="6" t="s">
        <v>26</v>
      </c>
      <c r="K12" s="9" t="n">
        <f aca="false">F12*G12</f>
        <v>108</v>
      </c>
    </row>
    <row r="13" customFormat="false" ht="15" hidden="false" customHeight="false" outlineLevel="0" collapsed="false">
      <c r="A13" s="6" t="s">
        <v>33</v>
      </c>
      <c r="B13" s="6" t="s">
        <v>34</v>
      </c>
      <c r="C13" s="6" t="s">
        <v>24</v>
      </c>
      <c r="D13" s="6" t="s">
        <v>25</v>
      </c>
      <c r="E13" s="6" t="s">
        <v>18</v>
      </c>
      <c r="F13" s="7" t="n">
        <v>12</v>
      </c>
      <c r="G13" s="8" t="n">
        <v>11.9</v>
      </c>
      <c r="H13" s="9" t="n">
        <f aca="false">G13/(1-$B$4)</f>
        <v>19.8333333333333</v>
      </c>
      <c r="I13" s="7" t="n">
        <v>2</v>
      </c>
      <c r="J13" s="6" t="s">
        <v>26</v>
      </c>
      <c r="K13" s="9" t="n">
        <f aca="false">F13*G13</f>
        <v>142.8</v>
      </c>
    </row>
    <row r="14" customFormat="false" ht="15" hidden="false" customHeight="false" outlineLevel="0" collapsed="false">
      <c r="A14" s="6" t="s">
        <v>35</v>
      </c>
      <c r="B14" s="6" t="s">
        <v>36</v>
      </c>
      <c r="C14" s="6" t="s">
        <v>37</v>
      </c>
      <c r="D14" s="6" t="s">
        <v>17</v>
      </c>
      <c r="E14" s="6" t="s">
        <v>18</v>
      </c>
      <c r="F14" s="7" t="n">
        <v>20</v>
      </c>
      <c r="G14" s="8" t="n">
        <v>8.64</v>
      </c>
      <c r="H14" s="9" t="n">
        <f aca="false">G14/(1-$B$4)</f>
        <v>14.4</v>
      </c>
      <c r="I14" s="7" t="n">
        <v>4</v>
      </c>
      <c r="J14" s="6" t="s">
        <v>38</v>
      </c>
      <c r="K14" s="9" t="n">
        <f aca="false">F14*G14</f>
        <v>172.8</v>
      </c>
    </row>
    <row r="15" customFormat="false" ht="15" hidden="false" customHeight="false" outlineLevel="0" collapsed="false">
      <c r="A15" s="6" t="s">
        <v>39</v>
      </c>
      <c r="B15" s="6" t="s">
        <v>40</v>
      </c>
      <c r="C15" s="6" t="s">
        <v>37</v>
      </c>
      <c r="D15" s="6" t="s">
        <v>17</v>
      </c>
      <c r="E15" s="6" t="s">
        <v>18</v>
      </c>
      <c r="F15" s="7" t="n">
        <v>20</v>
      </c>
      <c r="G15" s="8" t="n">
        <v>8.93</v>
      </c>
      <c r="H15" s="9" t="n">
        <f aca="false">G15/(1-$B$4)</f>
        <v>14.8833333333333</v>
      </c>
      <c r="I15" s="7" t="n">
        <v>4</v>
      </c>
      <c r="J15" s="6" t="s">
        <v>38</v>
      </c>
      <c r="K15" s="9" t="n">
        <f aca="false">F15*G15</f>
        <v>178.6</v>
      </c>
    </row>
    <row r="16" customFormat="false" ht="15" hidden="false" customHeight="false" outlineLevel="0" collapsed="false">
      <c r="A16" s="6" t="s">
        <v>41</v>
      </c>
      <c r="B16" s="6" t="s">
        <v>42</v>
      </c>
      <c r="C16" s="6" t="s">
        <v>16</v>
      </c>
      <c r="D16" s="6" t="s">
        <v>43</v>
      </c>
      <c r="E16" s="6" t="s">
        <v>44</v>
      </c>
      <c r="F16" s="7" t="n">
        <v>5</v>
      </c>
      <c r="G16" s="8" t="n">
        <v>9.8</v>
      </c>
      <c r="H16" s="9" t="n">
        <f aca="false">G16/(1-$B$4)</f>
        <v>16.3333333333333</v>
      </c>
      <c r="I16" s="7" t="n">
        <v>2</v>
      </c>
      <c r="J16" s="6" t="s">
        <v>45</v>
      </c>
      <c r="K16" s="9" t="n">
        <f aca="false">F16*G16</f>
        <v>49</v>
      </c>
    </row>
    <row r="17" customFormat="false" ht="15" hidden="false" customHeight="false" outlineLevel="0" collapsed="false">
      <c r="A17" s="6" t="s">
        <v>46</v>
      </c>
      <c r="B17" s="6" t="s">
        <v>47</v>
      </c>
      <c r="C17" s="6" t="s">
        <v>16</v>
      </c>
      <c r="D17" s="6" t="s">
        <v>48</v>
      </c>
      <c r="E17" s="6" t="s">
        <v>18</v>
      </c>
      <c r="F17" s="7" t="n">
        <v>4</v>
      </c>
      <c r="G17" s="8" t="n">
        <v>9</v>
      </c>
      <c r="H17" s="9" t="n">
        <f aca="false">G17/(1-$B$4)</f>
        <v>15</v>
      </c>
      <c r="I17" s="7" t="n">
        <v>2</v>
      </c>
      <c r="J17" s="6" t="s">
        <v>49</v>
      </c>
      <c r="K17" s="9" t="n">
        <f aca="false">F17*G17</f>
        <v>36</v>
      </c>
    </row>
    <row r="18" customFormat="false" ht="15" hidden="false" customHeight="false" outlineLevel="0" collapsed="false">
      <c r="A18" s="6" t="s">
        <v>50</v>
      </c>
      <c r="B18" s="6" t="s">
        <v>51</v>
      </c>
      <c r="C18" s="6" t="s">
        <v>24</v>
      </c>
      <c r="D18" s="6" t="s">
        <v>48</v>
      </c>
      <c r="E18" s="6" t="s">
        <v>52</v>
      </c>
      <c r="F18" s="7" t="n">
        <v>20</v>
      </c>
      <c r="G18" s="8" t="n">
        <v>7.52</v>
      </c>
      <c r="H18" s="9" t="n">
        <f aca="false">G18/(1-$B$4)</f>
        <v>12.5333333333333</v>
      </c>
      <c r="I18" s="7" t="n">
        <v>4</v>
      </c>
      <c r="J18" s="6" t="s">
        <v>53</v>
      </c>
      <c r="K18" s="9" t="n">
        <f aca="false">F18*G18</f>
        <v>150.4</v>
      </c>
    </row>
    <row r="19" customFormat="false" ht="15" hidden="false" customHeight="false" outlineLevel="0" collapsed="false">
      <c r="A19" s="6" t="s">
        <v>54</v>
      </c>
      <c r="B19" s="6" t="s">
        <v>55</v>
      </c>
      <c r="C19" s="6" t="s">
        <v>56</v>
      </c>
      <c r="D19" s="6" t="s">
        <v>57</v>
      </c>
      <c r="E19" s="6" t="s">
        <v>18</v>
      </c>
      <c r="F19" s="7" t="n">
        <v>1</v>
      </c>
      <c r="G19" s="8" t="n">
        <v>61</v>
      </c>
      <c r="H19" s="9" t="n">
        <f aca="false">G19/(1-$B$4)</f>
        <v>101.666666666667</v>
      </c>
      <c r="I19" s="7" t="n">
        <v>1</v>
      </c>
      <c r="J19" s="6" t="s">
        <v>58</v>
      </c>
      <c r="K19" s="9" t="n">
        <f aca="false">F19*G19</f>
        <v>61</v>
      </c>
    </row>
    <row r="20" customFormat="false" ht="15" hidden="false" customHeight="false" outlineLevel="0" collapsed="false">
      <c r="A20" s="6" t="s">
        <v>59</v>
      </c>
      <c r="B20" s="6" t="s">
        <v>60</v>
      </c>
      <c r="C20" s="6" t="s">
        <v>16</v>
      </c>
      <c r="D20" s="6" t="s">
        <v>48</v>
      </c>
      <c r="E20" s="6" t="s">
        <v>18</v>
      </c>
      <c r="F20" s="7" t="n">
        <v>10</v>
      </c>
      <c r="G20" s="8" t="n">
        <v>6</v>
      </c>
      <c r="H20" s="9" t="n">
        <f aca="false">G20/(1-$B$4)</f>
        <v>10</v>
      </c>
      <c r="I20" s="7" t="n">
        <v>2</v>
      </c>
      <c r="J20" s="6" t="s">
        <v>61</v>
      </c>
      <c r="K20" s="9" t="n">
        <f aca="false">F20*G20</f>
        <v>60</v>
      </c>
    </row>
    <row r="21" customFormat="false" ht="15" hidden="false" customHeight="false" outlineLevel="0" collapsed="false">
      <c r="A21" s="6" t="s">
        <v>62</v>
      </c>
      <c r="B21" s="6" t="s">
        <v>63</v>
      </c>
      <c r="C21" s="6" t="s">
        <v>56</v>
      </c>
      <c r="D21" s="6" t="s">
        <v>64</v>
      </c>
      <c r="E21" s="6" t="s">
        <v>65</v>
      </c>
      <c r="F21" s="7" t="n">
        <v>1</v>
      </c>
      <c r="G21" s="8" t="n">
        <v>314.12</v>
      </c>
      <c r="H21" s="9" t="n">
        <f aca="false">G21/(1-$B$4)</f>
        <v>523.533333333333</v>
      </c>
      <c r="I21" s="7" t="n">
        <v>1</v>
      </c>
      <c r="J21" s="6" t="s">
        <v>66</v>
      </c>
      <c r="K21" s="9" t="n">
        <f aca="false">F21*G21</f>
        <v>314.12</v>
      </c>
    </row>
    <row r="22" customFormat="false" ht="15" hidden="false" customHeight="false" outlineLevel="0" collapsed="false">
      <c r="A22" s="6" t="s">
        <v>67</v>
      </c>
      <c r="B22" s="6" t="s">
        <v>68</v>
      </c>
      <c r="C22" s="6" t="s">
        <v>37</v>
      </c>
      <c r="D22" s="6" t="s">
        <v>17</v>
      </c>
      <c r="E22" s="6" t="s">
        <v>18</v>
      </c>
      <c r="F22" s="7" t="n">
        <v>20</v>
      </c>
      <c r="G22" s="8" t="n">
        <v>5.65</v>
      </c>
      <c r="H22" s="9" t="n">
        <f aca="false">G22/(1-$B$4)</f>
        <v>9.41666666666667</v>
      </c>
      <c r="I22" s="7" t="n">
        <v>4</v>
      </c>
      <c r="J22" s="6" t="s">
        <v>38</v>
      </c>
      <c r="K22" s="9" t="n">
        <f aca="false">F22*G22</f>
        <v>113</v>
      </c>
    </row>
    <row r="23" customFormat="false" ht="15" hidden="false" customHeight="false" outlineLevel="0" collapsed="false">
      <c r="A23" s="6" t="s">
        <v>69</v>
      </c>
      <c r="B23" s="6" t="s">
        <v>70</v>
      </c>
      <c r="C23" s="6" t="s">
        <v>37</v>
      </c>
      <c r="D23" s="6" t="s">
        <v>17</v>
      </c>
      <c r="E23" s="6" t="s">
        <v>18</v>
      </c>
      <c r="F23" s="7" t="n">
        <v>20</v>
      </c>
      <c r="G23" s="8" t="n">
        <v>5.65</v>
      </c>
      <c r="H23" s="9" t="n">
        <f aca="false">G23/(1-$B$4)</f>
        <v>9.41666666666667</v>
      </c>
      <c r="I23" s="7" t="n">
        <v>4</v>
      </c>
      <c r="J23" s="6" t="s">
        <v>38</v>
      </c>
      <c r="K23" s="9" t="n">
        <f aca="false">F23*G23</f>
        <v>113</v>
      </c>
    </row>
    <row r="24" customFormat="false" ht="15" hidden="false" customHeight="false" outlineLevel="0" collapsed="false">
      <c r="A24" s="6" t="s">
        <v>71</v>
      </c>
      <c r="B24" s="6" t="s">
        <v>72</v>
      </c>
      <c r="C24" s="6" t="s">
        <v>16</v>
      </c>
      <c r="D24" s="6" t="s">
        <v>25</v>
      </c>
      <c r="E24" s="6" t="s">
        <v>18</v>
      </c>
      <c r="F24" s="7" t="n">
        <v>6</v>
      </c>
      <c r="G24" s="8" t="n">
        <v>8.3</v>
      </c>
      <c r="H24" s="9" t="n">
        <f aca="false">G24/(1-$B$4)</f>
        <v>13.8333333333333</v>
      </c>
      <c r="I24" s="7" t="n">
        <v>2</v>
      </c>
      <c r="J24" s="6" t="s">
        <v>73</v>
      </c>
      <c r="K24" s="9" t="n">
        <f aca="false">F24*G24</f>
        <v>49.8</v>
      </c>
    </row>
    <row r="25" customFormat="false" ht="15" hidden="false" customHeight="false" outlineLevel="0" collapsed="false">
      <c r="A25" s="6" t="s">
        <v>74</v>
      </c>
      <c r="B25" s="6" t="s">
        <v>75</v>
      </c>
      <c r="C25" s="6" t="s">
        <v>76</v>
      </c>
      <c r="D25" s="6" t="s">
        <v>77</v>
      </c>
      <c r="E25" s="6" t="s">
        <v>18</v>
      </c>
      <c r="F25" s="7" t="n">
        <v>12</v>
      </c>
      <c r="G25" s="8" t="n">
        <v>4.38</v>
      </c>
      <c r="H25" s="9" t="n">
        <f aca="false">G25/(1-$B$4)</f>
        <v>7.3</v>
      </c>
      <c r="I25" s="7" t="n">
        <v>2</v>
      </c>
      <c r="J25" s="6" t="s">
        <v>78</v>
      </c>
      <c r="K25" s="9" t="n">
        <f aca="false">F25*G25</f>
        <v>52.56</v>
      </c>
    </row>
    <row r="27" customFormat="false" ht="15" hidden="false" customHeight="false" outlineLevel="0" collapsed="false">
      <c r="J27" s="10" t="s">
        <v>79</v>
      </c>
      <c r="K27" s="11" t="n">
        <f aca="false">SUM(K7:K25)</f>
        <v>1801.72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2026-07-07T21:53:35Z</dcterms:created>
  <dc:creator>openpyxl</dc:creator>
  <dc:description/>
  <dc:language>en-US</dc:language>
  <cp:lastModifiedBy/>
  <dcterms:modified xsi:type="dcterms:W3CDTF">2026-07-07T21:53:35Z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